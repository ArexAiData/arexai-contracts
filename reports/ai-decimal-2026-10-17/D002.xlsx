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ler" sheetId="1" state="visible" r:id="rId3"/>
    <sheet name="Hesaplar" sheetId="2" state="visible" r:id="rId4"/>
    <sheet name="Ozet" sheetId="3" state="visible" r:id="rId5"/>
  </sheets>
  <definedNames>
    <definedName function="false" hidden="true" localSheetId="0" name="_xlnm._FilterDatabase" vbProcedure="false">Veriler!$A$1:$F$8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<sst xmlns="http://schemas.openxmlformats.org/spreadsheetml/2006/main" count="39" uniqueCount="34">
  <si>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invoice_id</t>
  </si>
  <si>
    <t xml:space="preserve">customer</t>
  </si>
  <si>
    <t xml:space="preserve">quantity</t>
  </si>
  <si>
    <t xml:space="preserve">unit_price</t>
  </si>
  <si>
    <t xml:space="preserve">discount_percent</t>
  </si>
  <si>
    <t xml:space="preserve">tax_percent</t>
  </si>
  <si>
    <t xml:space="preserve">Özete git</t>
  </si>
  <si>
    <t xml:space="preserve">INV-001</t>
  </si>
  <si>
    <t xml:space="preserve">Alpha</t>
  </si>
  <si>
    <t xml:space="preserve">INV-002</t>
  </si>
  <si>
    <t xml:space="preserve">Beta</t>
  </si>
  <si>
    <t xml:space="preserve">INV-003</t>
  </si>
  <si>
    <t xml:space="preserve">Gamma</t>
  </si>
  <si>
    <t xml:space="preserve">INV-004</t>
  </si>
  <si>
    <t xml:space="preserve">Delta</t>
  </si>
  <si>
    <t xml:space="preserve">INV-005</t>
  </si>
  <si>
    <t xml:space="preserve">Epsilon</t>
  </si>
  <si>
    <t xml:space="preserve">Epsilon duplicate</t>
  </si>
  <si>
    <t xml:space="preserve">INV-006</t>
  </si>
  <si>
    <t xml:space="preserve">Zeta</t>
  </si>
  <si>
    <t xml:space="preserve">INVALID</t>
  </si>
  <si>
    <t xml:space="preserve">ID</t>
  </si>
  <si>
    <t xml:space="preserve">Matrah</t>
  </si>
  <si>
    <t xml:space="preserve">Indirim</t>
  </si>
  <si>
    <t xml:space="preserve">Net</t>
  </si>
  <si>
    <t xml:space="preserve">Vergi</t>
  </si>
  <si>
    <t xml:space="preserve">Brut</t>
  </si>
  <si>
    <t xml:space="preserve">Özet</t>
  </si>
  <si>
    <t xml:space="preserve">Veriler</t>
  </si>
  <si>
    <t xml:space="preserve">Hesaplar</t>
  </si>
  <si>
    <t xml:space="preserve">Kapsam dışı satır 7</t>
  </si>
  <si>
    <t xml:space="preserve">INV-005 ikinci kayıt / aynı kimliğin tekrarı; kullanıcı onayıyla hesap dışında.</t>
  </si>
  <si>
    <t xml:space="preserve">Kapsam dışı satır 8</t>
  </si>
  <si>
    <t xml:space="preserve">INV-006 unit_price değeri INVALID; kullanıcı onayıyla hesap dışında.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</si>
</sst>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24.71"/>
    <col collapsed="false" customWidth="true" hidden="false" outlineLevel="0" max="3" min="3" style="1" width="10.71"/>
    <col collapsed="false" customWidth="true" hidden="false" outlineLevel="0" max="4" min="4" style="1" width="12.71"/>
    <col collapsed="false" customWidth="true" hidden="false" outlineLevel="0" max="6" min="5" style="1" width="16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customFormat="false" ht="15" hidden="false" customHeight="true" outlineLevel="0" collapsed="false">
      <c r="A2" s="4" t="s">
        <v>7</v>
      </c>
      <c r="B2" s="4" t="s">
        <v>8</v>
      </c>
      <c r="C2" s="5" t="n">
        <v>3</v>
      </c>
      <c r="D2" s="6" t="n">
        <v>19.99</v>
      </c>
      <c r="E2" s="6" t="n">
        <v>10</v>
      </c>
      <c r="F2" s="6" t="n">
        <v>20</v>
      </c>
    </row>
    <row r="3" customFormat="false" ht="15" hidden="false" customHeight="true" outlineLevel="0" collapsed="false">
      <c r="A3" s="4" t="s">
        <v>9</v>
      </c>
      <c r="B3" s="4" t="s">
        <v>10</v>
      </c>
      <c r="C3" s="5" t="n">
        <v>2</v>
      </c>
      <c r="D3" s="6" t="n">
        <v>0.1</v>
      </c>
      <c r="E3" s="6" t="n">
        <v>0</v>
      </c>
      <c r="F3" s="6" t="n">
        <v>20</v>
      </c>
    </row>
    <row r="4" customFormat="false" ht="15" hidden="false" customHeight="true" outlineLevel="0" collapsed="false">
      <c r="A4" s="4" t="s">
        <v>11</v>
      </c>
      <c r="B4" s="4" t="s">
        <v>12</v>
      </c>
      <c r="C4" s="5" t="n">
        <v>1</v>
      </c>
      <c r="D4" s="6" t="n">
        <v>100</v>
      </c>
      <c r="E4" s="6" t="n">
        <v>100</v>
      </c>
      <c r="F4" s="6" t="n">
        <v>20</v>
      </c>
    </row>
    <row r="5" customFormat="false" ht="15" hidden="false" customHeight="true" outlineLevel="0" collapsed="false">
      <c r="A5" s="4" t="s">
        <v>13</v>
      </c>
      <c r="B5" s="4" t="s">
        <v>14</v>
      </c>
      <c r="C5" s="5" t="n">
        <v>0</v>
      </c>
      <c r="D5" s="6" t="n">
        <v>500</v>
      </c>
      <c r="E5" s="6" t="n">
        <v>0</v>
      </c>
      <c r="F5" s="6" t="n">
        <v>20</v>
      </c>
    </row>
    <row r="6" customFormat="false" ht="15" hidden="false" customHeight="true" outlineLevel="0" collapsed="false">
      <c r="A6" s="4" t="s">
        <v>15</v>
      </c>
      <c r="B6" s="4" t="s">
        <v>16</v>
      </c>
      <c r="C6" s="5" t="n">
        <v>1</v>
      </c>
      <c r="D6" s="6" t="n">
        <v>0.05</v>
      </c>
      <c r="E6" s="6" t="n">
        <v>0</v>
      </c>
      <c r="F6" s="6" t="n">
        <v>10</v>
      </c>
    </row>
    <row r="7" customFormat="false" ht="15" hidden="false" customHeight="true" outlineLevel="0" collapsed="false">
      <c r="A7" s="4" t="s">
        <v>15</v>
      </c>
      <c r="B7" s="4" t="s">
        <v>17</v>
      </c>
      <c r="C7" s="5" t="n">
        <v>1</v>
      </c>
      <c r="D7" s="6" t="n">
        <v>0.05</v>
      </c>
      <c r="E7" s="6" t="n">
        <v>0</v>
      </c>
      <c r="F7" s="6" t="n">
        <v>10</v>
      </c>
    </row>
    <row r="8" customFormat="false" ht="15" hidden="false" customHeight="true" outlineLevel="0" collapsed="false">
      <c r="A8" s="4" t="s">
        <v>18</v>
      </c>
      <c r="B8" s="4" t="s">
        <v>19</v>
      </c>
      <c r="C8" s="5" t="n">
        <v>2</v>
      </c>
      <c r="D8" s="4" t="s">
        <v>20</v>
      </c>
      <c r="E8" s="6" t="n">
        <v>0</v>
      </c>
      <c r="F8" s="6" t="n">
        <v>20</v>
      </c>
    </row>
  </sheetData>
  <autoFilter ref="A1:F8"/>
  <hyperlinks>
    <hyperlink ref="H1" location="'Ozet'!A1" display="Özete g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14.71"/>
  </cols>
  <sheetData>
    <row r="1" customFormat="false" ht="15" hidden="false" customHeight="tru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H1" s="3" t="s">
        <v>6</v>
      </c>
    </row>
    <row r="2" customFormat="false" ht="15" hidden="false" customHeight="true" outlineLevel="0" collapsed="false">
      <c r="A2" s="4" t="str">
        <f aca="false">Veriler!A2</f>
        <v>INV-001</v>
      </c>
      <c r="B2" s="6" t="n">
        <f aca="false">Veriler!C2*Veriler!D2</f>
        <v>59.97</v>
      </c>
      <c r="C2" s="6" t="n">
        <f aca="false">ROUND(B2*Veriler!E2/100,2)</f>
        <v>6</v>
      </c>
      <c r="D2" s="6" t="n">
        <f aca="false">B2-C2</f>
        <v>53.97</v>
      </c>
      <c r="E2" s="6" t="n">
        <f aca="false">ROUND(D2*Veriler!F2/100,2)</f>
        <v>10.79</v>
      </c>
      <c r="F2" s="6" t="n">
        <f aca="false">D2+E2</f>
        <v>64.76</v>
      </c>
    </row>
    <row r="3" customFormat="false" ht="15" hidden="false" customHeight="true" outlineLevel="0" collapsed="false">
      <c r="A3" s="4" t="str">
        <f aca="false">Veriler!A3</f>
        <v>INV-002</v>
      </c>
      <c r="B3" s="6" t="n">
        <f aca="false">Veriler!C3*Veriler!D3</f>
        <v>0.2</v>
      </c>
      <c r="C3" s="6" t="n">
        <f aca="false">ROUND(B3*Veriler!E3/100,2)</f>
        <v>0</v>
      </c>
      <c r="D3" s="6" t="n">
        <f aca="false">B3-C3</f>
        <v>0.2</v>
      </c>
      <c r="E3" s="6" t="n">
        <f aca="false">ROUND(D3*Veriler!F3/100,2)</f>
        <v>0.04</v>
      </c>
      <c r="F3" s="6" t="n">
        <f aca="false">D3+E3</f>
        <v>0.24</v>
      </c>
    </row>
    <row r="4" customFormat="false" ht="15" hidden="false" customHeight="true" outlineLevel="0" collapsed="false">
      <c r="A4" s="4" t="str">
        <f aca="false">Veriler!A4</f>
        <v>INV-003</v>
      </c>
      <c r="B4" s="6" t="n">
        <f aca="false">Veriler!C4*Veriler!D4</f>
        <v>100</v>
      </c>
      <c r="C4" s="6" t="n">
        <f aca="false">ROUND(B4*Veriler!E4/100,2)</f>
        <v>100</v>
      </c>
      <c r="D4" s="6" t="n">
        <f aca="false">B4-C4</f>
        <v>0</v>
      </c>
      <c r="E4" s="6" t="n">
        <f aca="false">ROUND(D4*Veriler!F4/100,2)</f>
        <v>0</v>
      </c>
      <c r="F4" s="6" t="n">
        <f aca="false">D4+E4</f>
        <v>0</v>
      </c>
    </row>
    <row r="5" customFormat="false" ht="15" hidden="false" customHeight="true" outlineLevel="0" collapsed="false">
      <c r="A5" s="4" t="str">
        <f aca="false">Veriler!A5</f>
        <v>INV-004</v>
      </c>
      <c r="B5" s="6" t="n">
        <f aca="false">Veriler!C5*Veriler!D5</f>
        <v>0</v>
      </c>
      <c r="C5" s="6" t="n">
        <f aca="false">ROUND(B5*Veriler!E5/100,2)</f>
        <v>0</v>
      </c>
      <c r="D5" s="6" t="n">
        <f aca="false">B5-C5</f>
        <v>0</v>
      </c>
      <c r="E5" s="6" t="n">
        <f aca="false">ROUND(D5*Veriler!F5/100,2)</f>
        <v>0</v>
      </c>
      <c r="F5" s="6" t="n">
        <f aca="false">D5+E5</f>
        <v>0</v>
      </c>
    </row>
    <row r="6" customFormat="false" ht="15" hidden="false" customHeight="true" outlineLevel="0" collapsed="false">
      <c r="A6" s="4" t="str">
        <f aca="false">Veriler!A6</f>
        <v>INV-005</v>
      </c>
      <c r="B6" s="6" t="n">
        <f aca="false">Veriler!C6*Veriler!D6</f>
        <v>0.05</v>
      </c>
      <c r="C6" s="6" t="n">
        <f aca="false">ROUND(B6*Veriler!E6/100,2)</f>
        <v>0</v>
      </c>
      <c r="D6" s="6" t="n">
        <f aca="false">B6-C6</f>
        <v>0.05</v>
      </c>
      <c r="E6" s="6" t="n">
        <f aca="false">ROUND(D6*Veriler!F6/100,2)</f>
        <v>0.01</v>
      </c>
      <c r="F6" s="6" t="n">
        <f aca="false">D6+E6</f>
        <v>0.06</v>
      </c>
    </row>
  </sheetData>
  <hyperlinks>
    <hyperlink ref="H1" location="'Ozet'!A1" display="Özete g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.71"/>
    <col collapsed="false" customWidth="true" hidden="false" outlineLevel="0" max="2" min="2" style="1" width="18.71"/>
    <col collapsed="false" customWidth="true" hidden="false" outlineLevel="0" max="3" min="3" style="1" width="70.71"/>
  </cols>
  <sheetData>
    <row r="1" customFormat="false" ht="17.25" hidden="false" customHeight="true" outlineLevel="0" collapsed="false">
      <c r="A1" s="7" t="s">
        <v>27</v>
      </c>
      <c r="D1" s="3" t="s">
        <v>28</v>
      </c>
      <c r="E1" s="3" t="s">
        <v>29</v>
      </c>
    </row>
    <row r="2" customFormat="false" ht="15" hidden="false" customHeight="true" outlineLevel="0" collapsed="false">
      <c r="A2" s="2" t="s">
        <v>24</v>
      </c>
      <c r="B2" s="6" t="n">
        <f aca="false">SUM(Hesaplar!D2:D6)</f>
        <v>54.22</v>
      </c>
    </row>
    <row r="3" customFormat="false" ht="15" hidden="false" customHeight="true" outlineLevel="0" collapsed="false">
      <c r="A3" s="2" t="s">
        <v>25</v>
      </c>
      <c r="B3" s="6" t="n">
        <f aca="false">SUM(Hesaplar!E2:E6)</f>
        <v>10.84</v>
      </c>
    </row>
    <row r="4" customFormat="false" ht="15" hidden="false" customHeight="true" outlineLevel="0" collapsed="false">
      <c r="A4" s="2" t="s">
        <v>26</v>
      </c>
      <c r="B4" s="6" t="n">
        <f aca="false">SUM(Hesaplar!F2:F6)</f>
        <v>65.06</v>
      </c>
    </row>
    <row r="6" customFormat="false" ht="31.5" hidden="false" customHeight="true" outlineLevel="0" collapsed="false">
      <c r="A6" s="8"/>
      <c r="B6" s="8"/>
    </row>
    <row r="7" customFormat="false" ht="31.5" hidden="false" customHeight="true" outlineLevel="0" collapsed="false">
      <c r="A7" s="8" t="s">
        <v>30</v>
      </c>
      <c r="B7" s="8" t="s">
        <v>31</v>
      </c>
    </row>
    <row r="8" customFormat="false" ht="31.5" hidden="false" customHeight="true" outlineLevel="0" collapsed="false">
      <c r="A8" s="8" t="s">
        <v>32</v>
      </c>
      <c r="B8" s="8" t="s">
        <v>33</v>
      </c>
    </row>
  </sheetData>
  <hyperlinks>
    <hyperlink ref="D1" location="'Veriler'!A1" display="Veriler"/>
    <hyperlink ref="E1" location="'Hesaplar'!A1" display="Hesapla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2026-10-17T19:30:25Z</dcterms:created>
  <dc:creator/>
  <dc:description>S1: v3.24-decimal-invoices.csv</dc:description>
  <dc:language>en-US</dc:language>
  <cp:lastModifiedBy/>
  <dcterms:modified xsi:type="dcterms:W3CDTF">2026-10-17T19:30:37Z</dcterms:modified>
  <cp:revision>0</cp:revision>
  <dc:subject/>
  <dc:title>Sentetik Fatura Kalemleri Hesapları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